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inomata\Desktop\塾代調査\"/>
    </mc:Choice>
  </mc:AlternateContent>
  <xr:revisionPtr revIDLastSave="0" documentId="13_ncr:1_{62BAC3B5-3FDB-412D-98F3-D7F8FDA797EB}" xr6:coauthVersionLast="47" xr6:coauthVersionMax="47" xr10:uidLastSave="{00000000-0000-0000-0000-000000000000}"/>
  <bookViews>
    <workbookView xWindow="-120" yWindow="-120" windowWidth="29040" windowHeight="15720" activeTab="3" xr2:uid="{00000000-000D-0000-FFFF-FFFF00000000}"/>
  </bookViews>
  <sheets>
    <sheet name="学年別学習塾費データ" sheetId="1" r:id="rId1"/>
    <sheet name="学年別補助学習費データ" sheetId="2" r:id="rId2"/>
    <sheet name="金額帯別分布データ" sheetId="3" r:id="rId3"/>
    <sheet name="希望進路別学習塾費" sheetId="4" r:id="rId4"/>
    <sheet name="大手塾モデル実費データ"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3" i="2" l="1"/>
  <c r="I23" i="2" s="1"/>
  <c r="G23" i="2"/>
  <c r="F23" i="2"/>
  <c r="E23" i="2"/>
  <c r="D23" i="2"/>
  <c r="C23" i="2"/>
  <c r="H22" i="2"/>
  <c r="I22" i="2" s="1"/>
  <c r="G22" i="2"/>
  <c r="F22" i="2"/>
  <c r="E22" i="2"/>
  <c r="D22" i="2"/>
  <c r="C22" i="2"/>
  <c r="H21" i="2"/>
  <c r="I21" i="2" s="1"/>
  <c r="G21" i="2"/>
  <c r="F21" i="2"/>
  <c r="E21" i="2"/>
  <c r="D21" i="2"/>
  <c r="C21" i="2"/>
  <c r="I17" i="2"/>
  <c r="I16" i="2"/>
  <c r="I15" i="2"/>
  <c r="I14" i="2"/>
  <c r="I13" i="2"/>
  <c r="I12" i="2"/>
  <c r="I11" i="2"/>
  <c r="I10" i="2"/>
  <c r="I9" i="2"/>
  <c r="I8" i="2"/>
  <c r="I7" i="2"/>
  <c r="I6" i="2"/>
  <c r="H23" i="1"/>
  <c r="I23" i="1" s="1"/>
  <c r="G23" i="1"/>
  <c r="F23" i="1"/>
  <c r="E23" i="1"/>
  <c r="D23" i="1"/>
  <c r="C23" i="1"/>
  <c r="H22" i="1"/>
  <c r="I22" i="1" s="1"/>
  <c r="G22" i="1"/>
  <c r="F22" i="1"/>
  <c r="E22" i="1"/>
  <c r="D22" i="1"/>
  <c r="C22" i="1"/>
  <c r="H21" i="1"/>
  <c r="I21" i="1" s="1"/>
  <c r="G21" i="1"/>
  <c r="F21" i="1"/>
  <c r="E21" i="1"/>
  <c r="D21" i="1"/>
  <c r="C21" i="1"/>
  <c r="I17" i="1"/>
  <c r="I16" i="1"/>
  <c r="I15" i="1"/>
  <c r="I14" i="1"/>
  <c r="I13" i="1"/>
  <c r="I12" i="1"/>
  <c r="I11" i="1"/>
  <c r="I10" i="1"/>
  <c r="I9" i="1"/>
  <c r="I8" i="1"/>
  <c r="I7" i="1"/>
  <c r="I6" i="1"/>
</calcChain>
</file>

<file path=xl/sharedStrings.xml><?xml version="1.0" encoding="utf-8"?>
<sst xmlns="http://schemas.openxmlformats.org/spreadsheetml/2006/main" count="237" uniqueCount="130">
  <si>
    <t>【文部科学省 令和5年度子供の学習費調査】 学年別・公私立別 学習塾費データ</t>
  </si>
  <si>
    <t>出典：文部科学省「令和5年度子供の学習費調査」（2024年12月公表データより作成）</t>
  </si>
  <si>
    <t>学校種別</t>
  </si>
  <si>
    <t>学年</t>
  </si>
  <si>
    <t>公立学校（年間費用）</t>
  </si>
  <si>
    <t>私立学校（年間費用）</t>
  </si>
  <si>
    <t>公私立差額
(通塾者平均)</t>
  </si>
  <si>
    <t>全体平均</t>
  </si>
  <si>
    <t>通塾率(%)</t>
  </si>
  <si>
    <t>通塾者平均</t>
  </si>
  <si>
    <t>小学校</t>
  </si>
  <si>
    <t>小1</t>
  </si>
  <si>
    <t>小2</t>
  </si>
  <si>
    <t>小3</t>
  </si>
  <si>
    <t>小4</t>
  </si>
  <si>
    <t>小5</t>
  </si>
  <si>
    <t>小6</t>
  </si>
  <si>
    <t>中学校</t>
  </si>
  <si>
    <t>中1</t>
  </si>
  <si>
    <t>中2</t>
  </si>
  <si>
    <t>中3</t>
  </si>
  <si>
    <t>高校</t>
  </si>
  <si>
    <t>高1</t>
  </si>
  <si>
    <t>高2</t>
  </si>
  <si>
    <t>高3</t>
  </si>
  <si>
    <t>【学校種別平均サマリー】</t>
  </si>
  <si>
    <t>区分</t>
  </si>
  <si>
    <t>対象学年</t>
  </si>
  <si>
    <t>公立 全体平均</t>
  </si>
  <si>
    <t>公立 通塾率</t>
  </si>
  <si>
    <t>公立 通塾者平均</t>
  </si>
  <si>
    <t>私立 全体平均</t>
  </si>
  <si>
    <t>私立 通塾率</t>
  </si>
  <si>
    <t>私立 通塾者平均</t>
  </si>
  <si>
    <t>公私立差額</t>
  </si>
  <si>
    <t>小学校 平均</t>
  </si>
  <si>
    <t>小1〜小6</t>
  </si>
  <si>
    <t>中学校 平均</t>
  </si>
  <si>
    <t>中1〜中3</t>
  </si>
  <si>
    <t>高校 平均</t>
  </si>
  <si>
    <t>高1〜高3</t>
  </si>
  <si>
    <t>【注記・項目の解説】</t>
  </si>
  <si>
    <t>1. 「全体平均」：当該学年の全児童・生徒（通塾していない者を含む）の平均支出額です。</t>
  </si>
  <si>
    <t>2. 「通塾率」：実際に学習塾費（月謝、講習費、教材費など）を支出している家庭の割合です。</t>
  </si>
  <si>
    <t>3. 「通塾者平均」：実際に塾に通って支出している家庭限定の平均費用です。（※資料作成・相場感の試算にはこの数値が適しています）</t>
  </si>
  <si>
    <t>4. 公私立差額は「私立通塾者平均 − 公立通塾者平均」で算出しています。</t>
  </si>
  <si>
    <t>5. 出典データ：文部科学省「令和5年度子供の学習費調査」（2024年12月発表）表2・表3より作成。</t>
  </si>
  <si>
    <t>【文部科学省 令和5年度子供の学習費調査】 学年別・公私立別 補助学習費データ</t>
  </si>
  <si>
    <t>※補助学習費 ＝ 学習塾費 ＋ 家庭内学習費（参考書等）＋ 通信教育・家庭教師費 ＋ その他（出典：文部科学省「令和5年度子供の学習費調査」）</t>
  </si>
  <si>
    <t>公立学校（年間補助学習費）</t>
  </si>
  <si>
    <t>私立学校（年間補助学習費）</t>
  </si>
  <si>
    <t>公私立差額
(支出者平均)</t>
  </si>
  <si>
    <t>支出率(%)</t>
  </si>
  <si>
    <t>支出者平均</t>
  </si>
  <si>
    <t>【学校種別 補助学習費平均サマリー】</t>
  </si>
  <si>
    <t>公立 支出率</t>
  </si>
  <si>
    <t>公立 支出者平均</t>
  </si>
  <si>
    <t>私立 支出率</t>
  </si>
  <si>
    <t>私立 支出者平均</t>
  </si>
  <si>
    <t>【文部科学省 令和5年度】 学習塾費の年間支出金額帯別 世帯構成比（％）</t>
  </si>
  <si>
    <t>出典：文部科学省「令和5年度子供の学習費調査」表4-8より作成</t>
  </si>
  <si>
    <t>年間支出金額帯</t>
  </si>
  <si>
    <t>高等学校（全日制）</t>
  </si>
  <si>
    <t>公立</t>
  </si>
  <si>
    <t>私立</t>
  </si>
  <si>
    <t>計（％）</t>
  </si>
  <si>
    <t>0円（％）</t>
  </si>
  <si>
    <t>～1万円未満（％）</t>
  </si>
  <si>
    <t>～5万円未満（％）</t>
  </si>
  <si>
    <t>～10万円未満（％）</t>
  </si>
  <si>
    <t>～15万円未満（％）</t>
  </si>
  <si>
    <t>～20万円未満（％）</t>
  </si>
  <si>
    <t>～25万円未満（％）</t>
  </si>
  <si>
    <t>～30万円未満（％）</t>
  </si>
  <si>
    <t>～35万円未満（％）</t>
  </si>
  <si>
    <t>～40万円未満（％）</t>
  </si>
  <si>
    <t>～45万円未満（％）</t>
  </si>
  <si>
    <t>～50万円未満（％）</t>
  </si>
  <si>
    <t>～55万円未満（％）</t>
  </si>
  <si>
    <t>～60万円未満（％）</t>
  </si>
  <si>
    <t>～65万円未満（％）</t>
  </si>
  <si>
    <t>～70万円未満（％）</t>
  </si>
  <si>
    <t>～75万円未満（％）</t>
  </si>
  <si>
    <t>～80万円未満（％）</t>
  </si>
  <si>
    <t>～85万円未満（％）</t>
  </si>
  <si>
    <t>～90万円未満（％）</t>
  </si>
  <si>
    <t>90万円以上（％）</t>
  </si>
  <si>
    <t>支出者平均額（千円）</t>
  </si>
  <si>
    <t>【文部科学省 令和5年度】 保護者の希望進路別 年間学習塾費（全体平均）</t>
  </si>
  <si>
    <t>出典：文部科学省「令和5年度子供の学習費調査」表7-2, 7-3, 7-4より作成（※単位：円/年）</t>
  </si>
  <si>
    <t>設置区分</t>
  </si>
  <si>
    <t>中学校まで</t>
  </si>
  <si>
    <t>高等学校まで</t>
  </si>
  <si>
    <t>専門学校まで</t>
  </si>
  <si>
    <t>短大・高専まで</t>
  </si>
  <si>
    <t>大学まで</t>
  </si>
  <si>
    <t>大学院まで</t>
  </si>
  <si>
    <t>データなし (※)</t>
  </si>
  <si>
    <t>高等学校</t>
  </si>
  <si>
    <t>…</t>
  </si>
  <si>
    <t>【解説とハイライト】</t>
  </si>
  <si>
    <t>・「大学まで」「大学院まで」進学を希望する世帯は、小学校・中学校の早い段階から学習塾費への投資額が突出して高い傾向にあります。</t>
  </si>
  <si>
    <t>・公立小学校：将来「高校まで」希望世帯は年間15,719円に対し、「大学まで」希望世帯は年間90,034円（約5.7倍）。</t>
  </si>
  <si>
    <t>・公立高校：将来「高校まで」世帯は年間4,567円に対し、「大学まで」希望世帯は年間197,729円（約43倍）、大学院希望は325,656円。</t>
  </si>
  <si>
    <t>※「データなし (※)」表記は、回答サンプル数が小さいため統計数値が非公表（表記なし）となっている箇所です。</t>
  </si>
  <si>
    <t>【アプリ登録用】 大手進学塾・予備校の学年別リアル費用モデルデータ</t>
  </si>
  <si>
    <t>※大手塾・予備校の公開料金、夏期・冬期講習代、教材費、テスト代を網羅したリアル費用試算モデルです。</t>
  </si>
  <si>
    <t>ルート区分</t>
  </si>
  <si>
    <t>代表塾モデル</t>
  </si>
  <si>
    <t>月謝(月額)</t>
  </si>
  <si>
    <t>年間月謝小計</t>
  </si>
  <si>
    <t>季節講習費(年間)</t>
  </si>
  <si>
    <t>教材・テスト・施設費(年間)</t>
  </si>
  <si>
    <t>年間総額</t>
  </si>
  <si>
    <t>備考</t>
  </si>
  <si>
    <t>中学受験ルート</t>
  </si>
  <si>
    <t>大手中学受験塾（SAPIX・日能研等）</t>
  </si>
  <si>
    <t>週2～3日通塾。基礎固めと通塾習慣化フェーズ</t>
  </si>
  <si>
    <t>週3～4日通塾。受験頻出単元の網羅期。講習負荷増</t>
  </si>
  <si>
    <t>志望校別特訓・日曜特訓・正月特訓・直前合宿等の全課金</t>
  </si>
  <si>
    <t>高校受験ルート</t>
  </si>
  <si>
    <t>大手高校受験進学塾</t>
  </si>
  <si>
    <t>英数中心、週2日。定期テスト対策含む</t>
  </si>
  <si>
    <t>3教科・5教科対応、部活との両立期</t>
  </si>
  <si>
    <t>5教科フル受講＋日曜Vセミナー＋夏期集中特訓</t>
  </si>
  <si>
    <t>大学受験一般ルート</t>
  </si>
  <si>
    <t>大手予備校・映像系予備校</t>
  </si>
  <si>
    <t>主要2科目（英語・数学）の先取り・定着</t>
  </si>
  <si>
    <t>受験必要科目（3～5科目）へ拡大、共通テスト対策開始</t>
  </si>
  <si>
    <t>志望校別講座・共通テスト模試パック・直前二次対策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</si>
</sst>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
    <numFmt numFmtId="177" formatCode="0.0%"/>
  </numFmts>
  <fonts count="10" x14ac:knownFonts="1">
    <font>
      <sz val="11"/>
      <color theme="1"/>
      <name val="ＭＳ Ｐゴシック"/>
      <family val="2"/>
      <scheme val="minor"/>
    </font>
    <font>
      <b/>
      <sz val="16"/>
      <color rgb="FFFFFFFF"/>
      <name val="游ゴシック"/>
      <family val="3"/>
      <charset val="128"/>
    </font>
    <font>
      <sz val="9"/>
      <color rgb="FF666666"/>
      <name val="游ゴシック"/>
      <family val="3"/>
      <charset val="128"/>
    </font>
    <font>
      <b/>
      <sz val="10"/>
      <color rgb="FFFFFFFF"/>
      <name val="游ゴシック"/>
      <family val="3"/>
      <charset val="128"/>
    </font>
    <font>
      <sz val="10"/>
      <name val="游ゴシック"/>
      <family val="3"/>
      <charset val="128"/>
    </font>
    <font>
      <b/>
      <sz val="11"/>
      <color rgb="FF1B365D"/>
      <name val="游ゴシック"/>
      <family val="3"/>
      <charset val="128"/>
    </font>
    <font>
      <b/>
      <sz val="10"/>
      <name val="游ゴシック"/>
      <family val="3"/>
      <charset val="128"/>
    </font>
    <font>
      <b/>
      <sz val="14"/>
      <color rgb="FFFFFFFF"/>
      <name val="游ゴシック"/>
      <family val="3"/>
      <charset val="128"/>
    </font>
    <font>
      <sz val="9"/>
      <color rgb="FFA0AEC0"/>
      <name val="游ゴシック"/>
      <family val="3"/>
      <charset val="128"/>
    </font>
    <font>
      <sz val="6"/>
      <name val="ＭＳ Ｐゴシック"/>
      <family val="3"/>
      <charset val="128"/>
      <scheme val="minor"/>
    </font>
  </fonts>
  <fills count="9">
    <fill>
      <patternFill patternType="none"/>
    </fill>
    <fill>
      <patternFill patternType="gray125"/>
    </fill>
    <fill>
      <patternFill patternType="solid">
        <fgColor rgb="FF1B365D"/>
        <bgColor rgb="FF1B365D"/>
      </patternFill>
    </fill>
    <fill>
      <patternFill patternType="solid">
        <fgColor rgb="FF4A5568"/>
        <bgColor rgb="FF4A5568"/>
      </patternFill>
    </fill>
    <fill>
      <patternFill patternType="solid">
        <fgColor rgb="FF2C5282"/>
        <bgColor rgb="FF2C5282"/>
      </patternFill>
    </fill>
    <fill>
      <patternFill patternType="solid">
        <fgColor rgb="FF742A2A"/>
        <bgColor rgb="FF742A2A"/>
      </patternFill>
    </fill>
    <fill>
      <patternFill patternType="solid">
        <fgColor rgb="FF2D3748"/>
        <bgColor rgb="FF2D3748"/>
      </patternFill>
    </fill>
    <fill>
      <patternFill patternType="solid">
        <fgColor rgb="FFF7FAFC"/>
        <bgColor rgb="FFF7FAFC"/>
      </patternFill>
    </fill>
    <fill>
      <patternFill patternType="solid">
        <fgColor rgb="FFEDF2F7"/>
        <bgColor rgb="FFEDF2F7"/>
      </patternFill>
    </fill>
  </fills>
  <borders count="9">
    <border>
      <left/>
      <right/>
      <top/>
      <bottom/>
      <diagonal/>
    </border>
    <border>
      <left style="thin">
        <color rgb="FFCBD5E0"/>
      </left>
      <right style="thin">
        <color rgb="FFCBD5E0"/>
      </right>
      <top style="thin">
        <color rgb="FFCBD5E0"/>
      </top>
      <bottom style="medium">
        <color rgb="FF4A5568"/>
      </bottom>
      <diagonal/>
    </border>
    <border>
      <left style="thin">
        <color rgb="FFCBD5E0"/>
      </left>
      <right style="thin">
        <color rgb="FFCBD5E0"/>
      </right>
      <top style="thin">
        <color rgb="FFCBD5E0"/>
      </top>
      <bottom style="thin">
        <color rgb="FFCBD5E0"/>
      </bottom>
      <diagonal/>
    </border>
    <border>
      <left style="thin">
        <color rgb="FFCBD5E0"/>
      </left>
      <right style="thin">
        <color rgb="FFCBD5E0"/>
      </right>
      <top style="thin">
        <color rgb="FFCBD5E0"/>
      </top>
      <bottom style="double">
        <color rgb="FF2D3748"/>
      </bottom>
      <diagonal/>
    </border>
    <border>
      <left style="thin">
        <color rgb="FFCBD5E0"/>
      </left>
      <right style="thin">
        <color rgb="FFCBD5E0"/>
      </right>
      <top/>
      <bottom style="medium">
        <color rgb="FF4A5568"/>
      </bottom>
      <diagonal/>
    </border>
    <border>
      <left/>
      <right/>
      <top style="thin">
        <color rgb="FFCBD5E0"/>
      </top>
      <bottom style="medium">
        <color rgb="FF4A5568"/>
      </bottom>
      <diagonal/>
    </border>
    <border>
      <left/>
      <right style="thin">
        <color rgb="FFCBD5E0"/>
      </right>
      <top style="thin">
        <color rgb="FFCBD5E0"/>
      </top>
      <bottom style="medium">
        <color rgb="FF4A5568"/>
      </bottom>
      <diagonal/>
    </border>
    <border>
      <left/>
      <right style="thin">
        <color rgb="FFCBD5E0"/>
      </right>
      <top style="thin">
        <color rgb="FFCBD5E0"/>
      </top>
      <bottom style="thin">
        <color rgb="FFCBD5E0"/>
      </bottom>
      <diagonal/>
    </border>
    <border>
      <left style="thin">
        <color rgb="FFCBD5E0"/>
      </left>
      <right style="thin">
        <color rgb="FFCBD5E0"/>
      </right>
      <top/>
      <bottom style="thin">
        <color rgb="FFCBD5E0"/>
      </bottom>
      <diagonal/>
    </border>
  </borders>
  <cellStyleXfs count="1">
    <xf numFmtId="0" fontId="0" fillId="0" borderId="0"/>
  </cellStyleXfs>
  <cellXfs count="42">
    <xf numFmtId="0" fontId="0" fillId="0" borderId="0" xfId="0"/>
    <xf numFmtId="0" fontId="2" fillId="0" borderId="0" xfId="0" applyFont="1"/>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0" borderId="2" xfId="0" applyFont="1" applyBorder="1" applyAlignment="1">
      <alignment horizontal="center" vertical="center"/>
    </xf>
    <xf numFmtId="176" fontId="4" fillId="0" borderId="2" xfId="0" applyNumberFormat="1" applyFont="1" applyBorder="1" applyAlignment="1">
      <alignment horizontal="right" vertical="center"/>
    </xf>
    <xf numFmtId="177" fontId="4" fillId="0" borderId="2" xfId="0" applyNumberFormat="1" applyFont="1" applyBorder="1" applyAlignment="1">
      <alignment horizontal="right" vertical="center"/>
    </xf>
    <xf numFmtId="0" fontId="4" fillId="7" borderId="2" xfId="0" applyFont="1" applyFill="1" applyBorder="1" applyAlignment="1">
      <alignment horizontal="center" vertical="center"/>
    </xf>
    <xf numFmtId="176" fontId="4" fillId="7" borderId="2" xfId="0" applyNumberFormat="1" applyFont="1" applyFill="1" applyBorder="1" applyAlignment="1">
      <alignment horizontal="right" vertical="center"/>
    </xf>
    <xf numFmtId="177" fontId="4" fillId="7" borderId="2" xfId="0" applyNumberFormat="1" applyFont="1" applyFill="1" applyBorder="1" applyAlignment="1">
      <alignment horizontal="right" vertical="center"/>
    </xf>
    <xf numFmtId="0" fontId="3" fillId="3" borderId="1" xfId="0" applyFont="1" applyFill="1" applyBorder="1" applyAlignment="1">
      <alignment horizontal="center" vertical="center"/>
    </xf>
    <xf numFmtId="0" fontId="6" fillId="0" borderId="3" xfId="0" applyFont="1" applyBorder="1" applyAlignment="1">
      <alignment horizontal="center" vertical="center"/>
    </xf>
    <xf numFmtId="176" fontId="6" fillId="0" borderId="3" xfId="0" applyNumberFormat="1" applyFont="1" applyBorder="1" applyAlignment="1">
      <alignment horizontal="right" vertical="center"/>
    </xf>
    <xf numFmtId="177" fontId="6" fillId="0" borderId="3" xfId="0" applyNumberFormat="1" applyFont="1" applyBorder="1" applyAlignment="1">
      <alignment horizontal="right" vertical="center"/>
    </xf>
    <xf numFmtId="0" fontId="3"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6" fillId="0" borderId="2" xfId="0" applyFont="1" applyBorder="1" applyAlignment="1">
      <alignment horizontal="left" vertical="center"/>
    </xf>
    <xf numFmtId="177" fontId="6" fillId="0" borderId="2" xfId="0" applyNumberFormat="1" applyFont="1" applyBorder="1" applyAlignment="1">
      <alignment horizontal="right" vertical="center"/>
    </xf>
    <xf numFmtId="0" fontId="6" fillId="7" borderId="2" xfId="0" applyFont="1" applyFill="1" applyBorder="1" applyAlignment="1">
      <alignment horizontal="left" vertical="center"/>
    </xf>
    <xf numFmtId="177" fontId="6" fillId="7" borderId="2" xfId="0" applyNumberFormat="1" applyFont="1" applyFill="1" applyBorder="1" applyAlignment="1">
      <alignment horizontal="right" vertical="center"/>
    </xf>
    <xf numFmtId="0" fontId="4" fillId="0" borderId="2" xfId="0" applyFont="1" applyBorder="1" applyAlignment="1">
      <alignment horizontal="left" vertical="center"/>
    </xf>
    <xf numFmtId="0" fontId="4" fillId="7" borderId="2" xfId="0" applyFont="1" applyFill="1" applyBorder="1" applyAlignment="1">
      <alignment horizontal="left" vertical="center"/>
    </xf>
    <xf numFmtId="176" fontId="6" fillId="0" borderId="2" xfId="0" applyNumberFormat="1" applyFont="1" applyBorder="1" applyAlignment="1">
      <alignment horizontal="right" vertical="center"/>
    </xf>
    <xf numFmtId="0" fontId="3" fillId="6" borderId="2" xfId="0" applyFont="1" applyFill="1" applyBorder="1" applyAlignment="1">
      <alignment horizontal="center" vertical="center"/>
    </xf>
    <xf numFmtId="0" fontId="6" fillId="0" borderId="2" xfId="0" applyFont="1" applyBorder="1" applyAlignment="1">
      <alignment horizontal="center" vertical="center"/>
    </xf>
    <xf numFmtId="0" fontId="8" fillId="0" borderId="2" xfId="0" applyFont="1" applyBorder="1" applyAlignment="1">
      <alignment horizontal="right" vertical="center"/>
    </xf>
    <xf numFmtId="176" fontId="6" fillId="7" borderId="2" xfId="0" applyNumberFormat="1" applyFont="1" applyFill="1" applyBorder="1" applyAlignment="1">
      <alignment horizontal="right" vertical="center"/>
    </xf>
    <xf numFmtId="0" fontId="5" fillId="8" borderId="0" xfId="0" applyFont="1" applyFill="1" applyAlignment="1">
      <alignment horizontal="left" vertical="center"/>
    </xf>
    <xf numFmtId="0" fontId="0" fillId="0" borderId="0" xfId="0"/>
    <xf numFmtId="0" fontId="3" fillId="3" borderId="1" xfId="0" applyFont="1" applyFill="1" applyBorder="1" applyAlignment="1">
      <alignment horizontal="center" vertical="center" wrapText="1"/>
    </xf>
    <xf numFmtId="0" fontId="0" fillId="0" borderId="4" xfId="0" applyBorder="1"/>
    <xf numFmtId="0" fontId="3" fillId="6" borderId="1" xfId="0" applyFont="1" applyFill="1" applyBorder="1" applyAlignment="1">
      <alignment horizontal="center" vertical="center" wrapText="1"/>
    </xf>
    <xf numFmtId="0" fontId="1" fillId="2" borderId="0" xfId="0" applyFont="1" applyFill="1" applyAlignment="1">
      <alignment horizontal="center" vertical="center"/>
    </xf>
    <xf numFmtId="0" fontId="3" fillId="4" borderId="1" xfId="0" applyFont="1" applyFill="1" applyBorder="1" applyAlignment="1">
      <alignment horizontal="center" vertical="center" wrapText="1"/>
    </xf>
    <xf numFmtId="0" fontId="0" fillId="0" borderId="5" xfId="0" applyBorder="1"/>
    <xf numFmtId="0" fontId="0" fillId="0" borderId="6" xfId="0" applyBorder="1"/>
    <xf numFmtId="0" fontId="3" fillId="5" borderId="1" xfId="0" applyFont="1" applyFill="1" applyBorder="1" applyAlignment="1">
      <alignment horizontal="center" vertical="center" wrapText="1"/>
    </xf>
    <xf numFmtId="0" fontId="7" fillId="2" borderId="0" xfId="0" applyFont="1" applyFill="1" applyAlignment="1">
      <alignment horizontal="center" vertical="center"/>
    </xf>
    <xf numFmtId="0" fontId="3" fillId="4" borderId="2" xfId="0" applyFont="1" applyFill="1" applyBorder="1" applyAlignment="1">
      <alignment horizontal="center" vertical="center"/>
    </xf>
    <xf numFmtId="0" fontId="0" fillId="0" borderId="7" xfId="0" applyBorder="1"/>
    <xf numFmtId="0" fontId="3" fillId="3" borderId="2" xfId="0" applyFont="1" applyFill="1" applyBorder="1" applyAlignment="1">
      <alignment horizontal="center" vertical="center"/>
    </xf>
    <xf numFmtId="0" fontId="0" fillId="0" borderId="8" xfId="0" applyBorder="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1"/>
  <sheetViews>
    <sheetView workbookViewId="0">
      <selection activeCell="J9" sqref="J9"/>
    </sheetView>
  </sheetViews>
  <sheetFormatPr defaultRowHeight="13.5" x14ac:dyDescent="0.15"/>
  <cols>
    <col min="1" max="1" width="12" customWidth="1"/>
    <col min="2" max="2" width="10" customWidth="1"/>
    <col min="3" max="3" width="15" customWidth="1"/>
    <col min="4" max="4" width="14" customWidth="1"/>
    <col min="5" max="5" width="16" customWidth="1"/>
    <col min="6" max="6" width="15" customWidth="1"/>
    <col min="7" max="7" width="14" customWidth="1"/>
    <col min="8" max="9" width="16" customWidth="1"/>
  </cols>
  <sheetData>
    <row r="1" spans="1:9" ht="39.950000000000003" customHeight="1" x14ac:dyDescent="0.15">
      <c r="A1" s="32" t="s">
        <v>0</v>
      </c>
      <c r="B1" s="28"/>
      <c r="C1" s="28"/>
      <c r="D1" s="28"/>
      <c r="E1" s="28"/>
      <c r="F1" s="28"/>
      <c r="G1" s="28"/>
      <c r="H1" s="28"/>
      <c r="I1" s="28"/>
    </row>
    <row r="2" spans="1:9" ht="16.5" x14ac:dyDescent="0.35">
      <c r="A2" s="1" t="s">
        <v>1</v>
      </c>
    </row>
    <row r="4" spans="1:9" ht="24" customHeight="1" x14ac:dyDescent="0.15">
      <c r="A4" s="29" t="s">
        <v>2</v>
      </c>
      <c r="B4" s="29" t="s">
        <v>3</v>
      </c>
      <c r="C4" s="33" t="s">
        <v>4</v>
      </c>
      <c r="D4" s="34"/>
      <c r="E4" s="35"/>
      <c r="F4" s="36" t="s">
        <v>5</v>
      </c>
      <c r="G4" s="34"/>
      <c r="H4" s="35"/>
      <c r="I4" s="31" t="s">
        <v>6</v>
      </c>
    </row>
    <row r="5" spans="1:9" ht="24" customHeight="1" x14ac:dyDescent="0.15">
      <c r="A5" s="30"/>
      <c r="B5" s="30"/>
      <c r="C5" s="2" t="s">
        <v>7</v>
      </c>
      <c r="D5" s="2" t="s">
        <v>8</v>
      </c>
      <c r="E5" s="2" t="s">
        <v>9</v>
      </c>
      <c r="F5" s="3" t="s">
        <v>7</v>
      </c>
      <c r="G5" s="3" t="s">
        <v>8</v>
      </c>
      <c r="H5" s="3" t="s">
        <v>9</v>
      </c>
      <c r="I5" s="30"/>
    </row>
    <row r="6" spans="1:9" ht="20.100000000000001" customHeight="1" x14ac:dyDescent="0.15">
      <c r="A6" s="4" t="s">
        <v>10</v>
      </c>
      <c r="B6" s="4" t="s">
        <v>11</v>
      </c>
      <c r="C6" s="5">
        <v>31504</v>
      </c>
      <c r="D6" s="6">
        <v>0.26800000000000002</v>
      </c>
      <c r="E6" s="5">
        <v>117000</v>
      </c>
      <c r="F6" s="5">
        <v>151589</v>
      </c>
      <c r="G6" s="6">
        <v>0.64400000000000002</v>
      </c>
      <c r="H6" s="5">
        <v>236000</v>
      </c>
      <c r="I6" s="5">
        <f t="shared" ref="I6:I17" si="0">H6-E6</f>
        <v>119000</v>
      </c>
    </row>
    <row r="7" spans="1:9" ht="20.100000000000001" customHeight="1" x14ac:dyDescent="0.15">
      <c r="A7" s="7" t="s">
        <v>10</v>
      </c>
      <c r="B7" s="7" t="s">
        <v>12</v>
      </c>
      <c r="C7" s="8">
        <v>35291</v>
      </c>
      <c r="D7" s="9">
        <v>0.29399999999999998</v>
      </c>
      <c r="E7" s="8">
        <v>120000</v>
      </c>
      <c r="F7" s="8">
        <v>145569</v>
      </c>
      <c r="G7" s="9">
        <v>0.66</v>
      </c>
      <c r="H7" s="8">
        <v>221000</v>
      </c>
      <c r="I7" s="8">
        <f t="shared" si="0"/>
        <v>101000</v>
      </c>
    </row>
    <row r="8" spans="1:9" ht="20.100000000000001" customHeight="1" x14ac:dyDescent="0.15">
      <c r="A8" s="4" t="s">
        <v>10</v>
      </c>
      <c r="B8" s="4" t="s">
        <v>13</v>
      </c>
      <c r="C8" s="5">
        <v>46108</v>
      </c>
      <c r="D8" s="6">
        <v>0.37</v>
      </c>
      <c r="E8" s="5">
        <v>125000</v>
      </c>
      <c r="F8" s="5">
        <v>179560</v>
      </c>
      <c r="G8" s="6">
        <v>0.76200000000000001</v>
      </c>
      <c r="H8" s="5">
        <v>236000</v>
      </c>
      <c r="I8" s="5">
        <f t="shared" si="0"/>
        <v>111000</v>
      </c>
    </row>
    <row r="9" spans="1:9" ht="20.100000000000001" customHeight="1" x14ac:dyDescent="0.15">
      <c r="A9" s="7" t="s">
        <v>10</v>
      </c>
      <c r="B9" s="7" t="s">
        <v>14</v>
      </c>
      <c r="C9" s="8">
        <v>80935</v>
      </c>
      <c r="D9" s="9">
        <v>0.41399999999999998</v>
      </c>
      <c r="E9" s="8">
        <v>195000</v>
      </c>
      <c r="F9" s="8">
        <v>267097</v>
      </c>
      <c r="G9" s="9">
        <v>0.71400000000000008</v>
      </c>
      <c r="H9" s="8">
        <v>374000</v>
      </c>
      <c r="I9" s="8">
        <f t="shared" si="0"/>
        <v>179000</v>
      </c>
    </row>
    <row r="10" spans="1:9" ht="20.100000000000001" customHeight="1" x14ac:dyDescent="0.15">
      <c r="A10" s="4" t="s">
        <v>10</v>
      </c>
      <c r="B10" s="4" t="s">
        <v>15</v>
      </c>
      <c r="C10" s="5">
        <v>106550</v>
      </c>
      <c r="D10" s="6">
        <v>0.44900000000000001</v>
      </c>
      <c r="E10" s="5">
        <v>237000</v>
      </c>
      <c r="F10" s="5">
        <v>375686</v>
      </c>
      <c r="G10" s="6">
        <v>0.79099999999999993</v>
      </c>
      <c r="H10" s="5">
        <v>475000</v>
      </c>
      <c r="I10" s="5">
        <f t="shared" si="0"/>
        <v>238000</v>
      </c>
    </row>
    <row r="11" spans="1:9" ht="20.100000000000001" customHeight="1" x14ac:dyDescent="0.15">
      <c r="A11" s="7" t="s">
        <v>10</v>
      </c>
      <c r="B11" s="7" t="s">
        <v>16</v>
      </c>
      <c r="C11" s="8">
        <v>145161</v>
      </c>
      <c r="D11" s="9">
        <v>0.53100000000000003</v>
      </c>
      <c r="E11" s="8">
        <v>273000</v>
      </c>
      <c r="F11" s="8">
        <v>442735</v>
      </c>
      <c r="G11" s="9">
        <v>0.74400000000000011</v>
      </c>
      <c r="H11" s="8">
        <v>595000</v>
      </c>
      <c r="I11" s="8">
        <f t="shared" si="0"/>
        <v>322000</v>
      </c>
    </row>
    <row r="12" spans="1:9" ht="20.100000000000001" customHeight="1" x14ac:dyDescent="0.15">
      <c r="A12" s="4" t="s">
        <v>17</v>
      </c>
      <c r="B12" s="4" t="s">
        <v>18</v>
      </c>
      <c r="C12" s="5">
        <v>133647</v>
      </c>
      <c r="D12" s="6">
        <v>0.52600000000000002</v>
      </c>
      <c r="E12" s="5">
        <v>254000</v>
      </c>
      <c r="F12" s="5">
        <v>151796</v>
      </c>
      <c r="G12" s="6">
        <v>0.50900000000000001</v>
      </c>
      <c r="H12" s="5">
        <v>298000</v>
      </c>
      <c r="I12" s="5">
        <f t="shared" si="0"/>
        <v>44000</v>
      </c>
    </row>
    <row r="13" spans="1:9" ht="20.100000000000001" customHeight="1" x14ac:dyDescent="0.15">
      <c r="A13" s="7" t="s">
        <v>17</v>
      </c>
      <c r="B13" s="7" t="s">
        <v>19</v>
      </c>
      <c r="C13" s="8">
        <v>213759</v>
      </c>
      <c r="D13" s="9">
        <v>0.66400000000000003</v>
      </c>
      <c r="E13" s="8">
        <v>322000</v>
      </c>
      <c r="F13" s="8">
        <v>151425</v>
      </c>
      <c r="G13" s="9">
        <v>0.47299999999999998</v>
      </c>
      <c r="H13" s="8">
        <v>320000</v>
      </c>
      <c r="I13" s="8">
        <f t="shared" si="0"/>
        <v>-2000</v>
      </c>
    </row>
    <row r="14" spans="1:9" ht="20.100000000000001" customHeight="1" x14ac:dyDescent="0.15">
      <c r="A14" s="4" t="s">
        <v>17</v>
      </c>
      <c r="B14" s="4" t="s">
        <v>20</v>
      </c>
      <c r="C14" s="5">
        <v>341220</v>
      </c>
      <c r="D14" s="6">
        <v>0.78599999999999992</v>
      </c>
      <c r="E14" s="5">
        <v>434000</v>
      </c>
      <c r="F14" s="5">
        <v>202127</v>
      </c>
      <c r="G14" s="6">
        <v>0.55600000000000005</v>
      </c>
      <c r="H14" s="5">
        <v>364000</v>
      </c>
      <c r="I14" s="5">
        <f t="shared" si="0"/>
        <v>-70000</v>
      </c>
    </row>
    <row r="15" spans="1:9" ht="20.100000000000001" customHeight="1" x14ac:dyDescent="0.15">
      <c r="A15" s="7" t="s">
        <v>21</v>
      </c>
      <c r="B15" s="7" t="s">
        <v>22</v>
      </c>
      <c r="C15" s="8">
        <v>89760</v>
      </c>
      <c r="D15" s="9">
        <v>0.34300000000000003</v>
      </c>
      <c r="E15" s="8">
        <v>262000</v>
      </c>
      <c r="F15" s="8">
        <v>109647</v>
      </c>
      <c r="G15" s="9">
        <v>0.34799999999999998</v>
      </c>
      <c r="H15" s="8">
        <v>315000</v>
      </c>
      <c r="I15" s="8">
        <f t="shared" si="0"/>
        <v>53000</v>
      </c>
    </row>
    <row r="16" spans="1:9" ht="20.100000000000001" customHeight="1" x14ac:dyDescent="0.15">
      <c r="A16" s="4" t="s">
        <v>21</v>
      </c>
      <c r="B16" s="4" t="s">
        <v>23</v>
      </c>
      <c r="C16" s="5">
        <v>148775</v>
      </c>
      <c r="D16" s="6">
        <v>0.36199999999999999</v>
      </c>
      <c r="E16" s="5">
        <v>411000</v>
      </c>
      <c r="F16" s="5">
        <v>180326</v>
      </c>
      <c r="G16" s="6">
        <v>0.38200000000000001</v>
      </c>
      <c r="H16" s="5">
        <v>471000</v>
      </c>
      <c r="I16" s="5">
        <f t="shared" si="0"/>
        <v>60000</v>
      </c>
    </row>
    <row r="17" spans="1:9" ht="20.100000000000001" customHeight="1" x14ac:dyDescent="0.15">
      <c r="A17" s="7" t="s">
        <v>21</v>
      </c>
      <c r="B17" s="7" t="s">
        <v>24</v>
      </c>
      <c r="C17" s="8">
        <v>206454</v>
      </c>
      <c r="D17" s="9">
        <v>0.45700000000000002</v>
      </c>
      <c r="E17" s="8">
        <v>452000</v>
      </c>
      <c r="F17" s="8">
        <v>214709</v>
      </c>
      <c r="G17" s="9">
        <v>0.39900000000000002</v>
      </c>
      <c r="H17" s="8">
        <v>538000</v>
      </c>
      <c r="I17" s="8">
        <f t="shared" si="0"/>
        <v>86000</v>
      </c>
    </row>
    <row r="18" spans="1:9" ht="6" customHeight="1" x14ac:dyDescent="0.15"/>
    <row r="19" spans="1:9" ht="24.95" customHeight="1" x14ac:dyDescent="0.15">
      <c r="A19" s="27" t="s">
        <v>25</v>
      </c>
      <c r="B19" s="28"/>
      <c r="C19" s="28"/>
      <c r="D19" s="28"/>
      <c r="E19" s="28"/>
      <c r="F19" s="28"/>
      <c r="G19" s="28"/>
      <c r="H19" s="28"/>
      <c r="I19" s="28"/>
    </row>
    <row r="20" spans="1:9" ht="16.5" x14ac:dyDescent="0.15">
      <c r="A20" s="10" t="s">
        <v>26</v>
      </c>
      <c r="B20" s="10" t="s">
        <v>27</v>
      </c>
      <c r="C20" s="10" t="s">
        <v>28</v>
      </c>
      <c r="D20" s="10" t="s">
        <v>29</v>
      </c>
      <c r="E20" s="10" t="s">
        <v>30</v>
      </c>
      <c r="F20" s="10" t="s">
        <v>31</v>
      </c>
      <c r="G20" s="10" t="s">
        <v>32</v>
      </c>
      <c r="H20" s="10" t="s">
        <v>33</v>
      </c>
      <c r="I20" s="10" t="s">
        <v>34</v>
      </c>
    </row>
    <row r="21" spans="1:9" ht="21.95" customHeight="1" x14ac:dyDescent="0.15">
      <c r="A21" s="11" t="s">
        <v>35</v>
      </c>
      <c r="B21" s="11" t="s">
        <v>36</v>
      </c>
      <c r="C21" s="12">
        <f t="shared" ref="C21:H21" si="1">AVERAGE(C6:C11)</f>
        <v>74258.166666666672</v>
      </c>
      <c r="D21" s="13">
        <f t="shared" si="1"/>
        <v>0.38766666666666666</v>
      </c>
      <c r="E21" s="12">
        <f t="shared" si="1"/>
        <v>177833.33333333334</v>
      </c>
      <c r="F21" s="12">
        <f t="shared" si="1"/>
        <v>260372.66666666666</v>
      </c>
      <c r="G21" s="13">
        <f t="shared" si="1"/>
        <v>0.71916666666666662</v>
      </c>
      <c r="H21" s="12">
        <f t="shared" si="1"/>
        <v>356166.66666666669</v>
      </c>
      <c r="I21" s="12">
        <f>H21-E21</f>
        <v>178333.33333333334</v>
      </c>
    </row>
    <row r="22" spans="1:9" ht="21.95" customHeight="1" x14ac:dyDescent="0.15">
      <c r="A22" s="11" t="s">
        <v>37</v>
      </c>
      <c r="B22" s="11" t="s">
        <v>38</v>
      </c>
      <c r="C22" s="12">
        <f t="shared" ref="C22:H22" si="2">AVERAGE(C12:C14)</f>
        <v>229542</v>
      </c>
      <c r="D22" s="13">
        <f t="shared" si="2"/>
        <v>0.65866666666666662</v>
      </c>
      <c r="E22" s="12">
        <f t="shared" si="2"/>
        <v>336666.66666666669</v>
      </c>
      <c r="F22" s="12">
        <f t="shared" si="2"/>
        <v>168449.33333333334</v>
      </c>
      <c r="G22" s="13">
        <f t="shared" si="2"/>
        <v>0.51266666666666671</v>
      </c>
      <c r="H22" s="12">
        <f t="shared" si="2"/>
        <v>327333.33333333331</v>
      </c>
      <c r="I22" s="12">
        <f>H22-E22</f>
        <v>-9333.3333333333721</v>
      </c>
    </row>
    <row r="23" spans="1:9" ht="21.95" customHeight="1" x14ac:dyDescent="0.15">
      <c r="A23" s="11" t="s">
        <v>39</v>
      </c>
      <c r="B23" s="11" t="s">
        <v>40</v>
      </c>
      <c r="C23" s="12">
        <f t="shared" ref="C23:H23" si="3">AVERAGE(C15:C17)</f>
        <v>148329.66666666666</v>
      </c>
      <c r="D23" s="13">
        <f t="shared" si="3"/>
        <v>0.38733333333333336</v>
      </c>
      <c r="E23" s="12">
        <f t="shared" si="3"/>
        <v>375000</v>
      </c>
      <c r="F23" s="12">
        <f t="shared" si="3"/>
        <v>168227.33333333334</v>
      </c>
      <c r="G23" s="13">
        <f t="shared" si="3"/>
        <v>0.37633333333333335</v>
      </c>
      <c r="H23" s="12">
        <f t="shared" si="3"/>
        <v>441333.33333333331</v>
      </c>
      <c r="I23" s="12">
        <f>H23-E23</f>
        <v>66333.333333333314</v>
      </c>
    </row>
    <row r="26" spans="1:9" ht="16.5" x14ac:dyDescent="0.35">
      <c r="A26" s="1" t="s">
        <v>41</v>
      </c>
    </row>
    <row r="27" spans="1:9" ht="16.5" x14ac:dyDescent="0.35">
      <c r="A27" s="1" t="s">
        <v>42</v>
      </c>
    </row>
    <row r="28" spans="1:9" ht="16.5" x14ac:dyDescent="0.35">
      <c r="A28" s="1" t="s">
        <v>43</v>
      </c>
    </row>
    <row r="29" spans="1:9" ht="16.5" x14ac:dyDescent="0.35">
      <c r="A29" s="1" t="s">
        <v>44</v>
      </c>
    </row>
    <row r="30" spans="1:9" ht="16.5" x14ac:dyDescent="0.35">
      <c r="A30" s="1" t="s">
        <v>45</v>
      </c>
    </row>
    <row r="31" spans="1:9" ht="16.5" x14ac:dyDescent="0.35">
      <c r="A31" s="1" t="s">
        <v>46</v>
      </c>
    </row>
  </sheetData>
  <mergeCells count="7">
    <mergeCell ref="A19:I19"/>
    <mergeCell ref="B4:B5"/>
    <mergeCell ref="A4:A5"/>
    <mergeCell ref="I4:I5"/>
    <mergeCell ref="A1:I1"/>
    <mergeCell ref="C4:E4"/>
    <mergeCell ref="F4:H4"/>
  </mergeCells>
  <phoneticPr fontId="9"/>
  <pageMargins left="0.75" right="0.75" top="1" bottom="1" header="0.5" footer="0.5"/>
  <pageSetup paperSize="9" scale="8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workbookViewId="0">
      <selection sqref="A1:I1"/>
    </sheetView>
  </sheetViews>
  <sheetFormatPr defaultRowHeight="13.5" x14ac:dyDescent="0.15"/>
  <cols>
    <col min="1" max="1" width="12" customWidth="1"/>
    <col min="2" max="2" width="10" customWidth="1"/>
    <col min="3" max="3" width="15" customWidth="1"/>
    <col min="4" max="4" width="14" customWidth="1"/>
    <col min="5" max="5" width="16" customWidth="1"/>
    <col min="6" max="6" width="15" customWidth="1"/>
    <col min="7" max="7" width="14" customWidth="1"/>
    <col min="8" max="9" width="16" customWidth="1"/>
  </cols>
  <sheetData>
    <row r="1" spans="1:9" ht="39.950000000000003" customHeight="1" x14ac:dyDescent="0.15">
      <c r="A1" s="37" t="s">
        <v>47</v>
      </c>
      <c r="B1" s="28"/>
      <c r="C1" s="28"/>
      <c r="D1" s="28"/>
      <c r="E1" s="28"/>
      <c r="F1" s="28"/>
      <c r="G1" s="28"/>
      <c r="H1" s="28"/>
      <c r="I1" s="28"/>
    </row>
    <row r="2" spans="1:9" ht="16.5" x14ac:dyDescent="0.35">
      <c r="A2" s="1" t="s">
        <v>48</v>
      </c>
    </row>
    <row r="4" spans="1:9" ht="24" customHeight="1" x14ac:dyDescent="0.15">
      <c r="A4" s="29" t="s">
        <v>2</v>
      </c>
      <c r="B4" s="29" t="s">
        <v>3</v>
      </c>
      <c r="C4" s="33" t="s">
        <v>49</v>
      </c>
      <c r="D4" s="33"/>
      <c r="E4" s="33"/>
      <c r="F4" s="36" t="s">
        <v>50</v>
      </c>
      <c r="G4" s="36"/>
      <c r="H4" s="36"/>
      <c r="I4" s="31" t="s">
        <v>51</v>
      </c>
    </row>
    <row r="5" spans="1:9" ht="24" customHeight="1" x14ac:dyDescent="0.15">
      <c r="A5" s="29"/>
      <c r="B5" s="29"/>
      <c r="C5" s="2" t="s">
        <v>7</v>
      </c>
      <c r="D5" s="2" t="s">
        <v>52</v>
      </c>
      <c r="E5" s="2" t="s">
        <v>53</v>
      </c>
      <c r="F5" s="3" t="s">
        <v>7</v>
      </c>
      <c r="G5" s="3" t="s">
        <v>52</v>
      </c>
      <c r="H5" s="3" t="s">
        <v>53</v>
      </c>
      <c r="I5" s="31"/>
    </row>
    <row r="6" spans="1:9" ht="20.100000000000001" customHeight="1" x14ac:dyDescent="0.15">
      <c r="A6" s="4" t="s">
        <v>10</v>
      </c>
      <c r="B6" s="4" t="s">
        <v>11</v>
      </c>
      <c r="C6" s="5">
        <v>80572</v>
      </c>
      <c r="D6" s="6">
        <v>0.94</v>
      </c>
      <c r="E6" s="5">
        <v>86000</v>
      </c>
      <c r="F6" s="5">
        <v>275581</v>
      </c>
      <c r="G6" s="6">
        <v>0.99199999999999999</v>
      </c>
      <c r="H6" s="5">
        <v>278000</v>
      </c>
      <c r="I6" s="5">
        <f t="shared" ref="I6:I17" si="0">H6-E6</f>
        <v>192000</v>
      </c>
    </row>
    <row r="7" spans="1:9" ht="20.100000000000001" customHeight="1" x14ac:dyDescent="0.15">
      <c r="A7" s="7" t="s">
        <v>10</v>
      </c>
      <c r="B7" s="7" t="s">
        <v>12</v>
      </c>
      <c r="C7" s="8">
        <v>65947</v>
      </c>
      <c r="D7" s="9">
        <v>0.871</v>
      </c>
      <c r="E7" s="8">
        <v>76000</v>
      </c>
      <c r="F7" s="8">
        <v>233705</v>
      </c>
      <c r="G7" s="9">
        <v>0.97400000000000009</v>
      </c>
      <c r="H7" s="8">
        <v>240000</v>
      </c>
      <c r="I7" s="8">
        <f t="shared" si="0"/>
        <v>164000</v>
      </c>
    </row>
    <row r="8" spans="1:9" ht="20.100000000000001" customHeight="1" x14ac:dyDescent="0.15">
      <c r="A8" s="4" t="s">
        <v>10</v>
      </c>
      <c r="B8" s="4" t="s">
        <v>13</v>
      </c>
      <c r="C8" s="5">
        <v>76470</v>
      </c>
      <c r="D8" s="6">
        <v>0.85299999999999998</v>
      </c>
      <c r="E8" s="5">
        <v>90000</v>
      </c>
      <c r="F8" s="5">
        <v>256898</v>
      </c>
      <c r="G8" s="6">
        <v>0.97299999999999998</v>
      </c>
      <c r="H8" s="5">
        <v>264000</v>
      </c>
      <c r="I8" s="5">
        <f t="shared" si="0"/>
        <v>174000</v>
      </c>
    </row>
    <row r="9" spans="1:9" ht="20.100000000000001" customHeight="1" x14ac:dyDescent="0.15">
      <c r="A9" s="7" t="s">
        <v>10</v>
      </c>
      <c r="B9" s="7" t="s">
        <v>14</v>
      </c>
      <c r="C9" s="8">
        <v>116753</v>
      </c>
      <c r="D9" s="9">
        <v>0.84099999999999997</v>
      </c>
      <c r="E9" s="8">
        <v>139000</v>
      </c>
      <c r="F9" s="8">
        <v>353001</v>
      </c>
      <c r="G9" s="9">
        <v>0.96900000000000008</v>
      </c>
      <c r="H9" s="8">
        <v>364000</v>
      </c>
      <c r="I9" s="8">
        <f t="shared" si="0"/>
        <v>225000</v>
      </c>
    </row>
    <row r="10" spans="1:9" ht="20.100000000000001" customHeight="1" x14ac:dyDescent="0.15">
      <c r="A10" s="4" t="s">
        <v>10</v>
      </c>
      <c r="B10" s="4" t="s">
        <v>15</v>
      </c>
      <c r="C10" s="5">
        <v>143318</v>
      </c>
      <c r="D10" s="6">
        <v>0.82700000000000007</v>
      </c>
      <c r="E10" s="5">
        <v>173000</v>
      </c>
      <c r="F10" s="5">
        <v>490673</v>
      </c>
      <c r="G10" s="6">
        <v>0.97900000000000009</v>
      </c>
      <c r="H10" s="5">
        <v>501000</v>
      </c>
      <c r="I10" s="5">
        <f t="shared" si="0"/>
        <v>328000</v>
      </c>
    </row>
    <row r="11" spans="1:9" ht="20.100000000000001" customHeight="1" x14ac:dyDescent="0.15">
      <c r="A11" s="7" t="s">
        <v>10</v>
      </c>
      <c r="B11" s="7" t="s">
        <v>16</v>
      </c>
      <c r="C11" s="8">
        <v>186559</v>
      </c>
      <c r="D11" s="9">
        <v>0.85599999999999998</v>
      </c>
      <c r="E11" s="8">
        <v>218000</v>
      </c>
      <c r="F11" s="8">
        <v>595670</v>
      </c>
      <c r="G11" s="9">
        <v>0.97299999999999998</v>
      </c>
      <c r="H11" s="8">
        <v>612000</v>
      </c>
      <c r="I11" s="8">
        <f t="shared" si="0"/>
        <v>394000</v>
      </c>
    </row>
    <row r="12" spans="1:9" ht="20.100000000000001" customHeight="1" x14ac:dyDescent="0.15">
      <c r="A12" s="4" t="s">
        <v>17</v>
      </c>
      <c r="B12" s="4" t="s">
        <v>18</v>
      </c>
      <c r="C12" s="5">
        <v>172481</v>
      </c>
      <c r="D12" s="6">
        <v>0.91200000000000003</v>
      </c>
      <c r="E12" s="5">
        <v>189000</v>
      </c>
      <c r="F12" s="5">
        <v>235949</v>
      </c>
      <c r="G12" s="6">
        <v>0.94200000000000006</v>
      </c>
      <c r="H12" s="5">
        <v>250000</v>
      </c>
      <c r="I12" s="5">
        <f t="shared" si="0"/>
        <v>61000</v>
      </c>
    </row>
    <row r="13" spans="1:9" ht="20.100000000000001" customHeight="1" x14ac:dyDescent="0.15">
      <c r="A13" s="7" t="s">
        <v>17</v>
      </c>
      <c r="B13" s="7" t="s">
        <v>19</v>
      </c>
      <c r="C13" s="8">
        <v>249354</v>
      </c>
      <c r="D13" s="9">
        <v>0.92099999999999993</v>
      </c>
      <c r="E13" s="8">
        <v>271000</v>
      </c>
      <c r="F13" s="8">
        <v>208470</v>
      </c>
      <c r="G13" s="9">
        <v>0.94299999999999995</v>
      </c>
      <c r="H13" s="8">
        <v>221000</v>
      </c>
      <c r="I13" s="8">
        <f t="shared" si="0"/>
        <v>-50000</v>
      </c>
    </row>
    <row r="14" spans="1:9" ht="20.100000000000001" customHeight="1" x14ac:dyDescent="0.15">
      <c r="A14" s="4" t="s">
        <v>17</v>
      </c>
      <c r="B14" s="4" t="s">
        <v>20</v>
      </c>
      <c r="C14" s="5">
        <v>390200</v>
      </c>
      <c r="D14" s="6">
        <v>0.97199999999999998</v>
      </c>
      <c r="E14" s="5">
        <v>402000</v>
      </c>
      <c r="F14" s="5">
        <v>267207</v>
      </c>
      <c r="G14" s="6">
        <v>0.96599999999999997</v>
      </c>
      <c r="H14" s="5">
        <v>277000</v>
      </c>
      <c r="I14" s="5">
        <f t="shared" si="0"/>
        <v>-125000</v>
      </c>
    </row>
    <row r="15" spans="1:9" ht="20.100000000000001" customHeight="1" x14ac:dyDescent="0.15">
      <c r="A15" s="7" t="s">
        <v>21</v>
      </c>
      <c r="B15" s="7" t="s">
        <v>22</v>
      </c>
      <c r="C15" s="8">
        <v>140247</v>
      </c>
      <c r="D15" s="9">
        <v>0.83400000000000007</v>
      </c>
      <c r="E15" s="8">
        <v>168000</v>
      </c>
      <c r="F15" s="8">
        <v>169414</v>
      </c>
      <c r="G15" s="9">
        <v>0.83700000000000008</v>
      </c>
      <c r="H15" s="8">
        <v>203000</v>
      </c>
      <c r="I15" s="8">
        <f t="shared" si="0"/>
        <v>35000</v>
      </c>
    </row>
    <row r="16" spans="1:9" ht="20.100000000000001" customHeight="1" x14ac:dyDescent="0.15">
      <c r="A16" s="4" t="s">
        <v>21</v>
      </c>
      <c r="B16" s="4" t="s">
        <v>23</v>
      </c>
      <c r="C16" s="5">
        <v>182074</v>
      </c>
      <c r="D16" s="6">
        <v>0.81299999999999994</v>
      </c>
      <c r="E16" s="5">
        <v>224000</v>
      </c>
      <c r="F16" s="5">
        <v>246408</v>
      </c>
      <c r="G16" s="6">
        <v>0.81599999999999995</v>
      </c>
      <c r="H16" s="5">
        <v>302000</v>
      </c>
      <c r="I16" s="5">
        <f t="shared" si="0"/>
        <v>78000</v>
      </c>
    </row>
    <row r="17" spans="1:9" ht="20.100000000000001" customHeight="1" x14ac:dyDescent="0.15">
      <c r="A17" s="7" t="s">
        <v>21</v>
      </c>
      <c r="B17" s="7" t="s">
        <v>24</v>
      </c>
      <c r="C17" s="8">
        <v>285156</v>
      </c>
      <c r="D17" s="9">
        <v>0.85499999999999998</v>
      </c>
      <c r="E17" s="8">
        <v>333000</v>
      </c>
      <c r="F17" s="8">
        <v>304816</v>
      </c>
      <c r="G17" s="9">
        <v>0.85299999999999998</v>
      </c>
      <c r="H17" s="8">
        <v>357000</v>
      </c>
      <c r="I17" s="8">
        <f t="shared" si="0"/>
        <v>24000</v>
      </c>
    </row>
    <row r="18" spans="1:9" ht="6" customHeight="1" x14ac:dyDescent="0.15"/>
    <row r="19" spans="1:9" ht="24.95" customHeight="1" x14ac:dyDescent="0.15">
      <c r="A19" s="27" t="s">
        <v>54</v>
      </c>
      <c r="B19" s="28"/>
      <c r="C19" s="28"/>
      <c r="D19" s="28"/>
      <c r="E19" s="28"/>
      <c r="F19" s="28"/>
      <c r="G19" s="28"/>
      <c r="H19" s="28"/>
      <c r="I19" s="28"/>
    </row>
    <row r="20" spans="1:9" ht="16.5" x14ac:dyDescent="0.15">
      <c r="A20" s="10" t="s">
        <v>26</v>
      </c>
      <c r="B20" s="10" t="s">
        <v>27</v>
      </c>
      <c r="C20" s="10" t="s">
        <v>28</v>
      </c>
      <c r="D20" s="10" t="s">
        <v>55</v>
      </c>
      <c r="E20" s="10" t="s">
        <v>56</v>
      </c>
      <c r="F20" s="10" t="s">
        <v>31</v>
      </c>
      <c r="G20" s="10" t="s">
        <v>57</v>
      </c>
      <c r="H20" s="10" t="s">
        <v>58</v>
      </c>
      <c r="I20" s="10" t="s">
        <v>34</v>
      </c>
    </row>
    <row r="21" spans="1:9" ht="21.95" customHeight="1" x14ac:dyDescent="0.15">
      <c r="A21" s="11" t="s">
        <v>35</v>
      </c>
      <c r="B21" s="11" t="s">
        <v>36</v>
      </c>
      <c r="C21" s="12">
        <f t="shared" ref="C21:H21" si="1">AVERAGE(C6:C11)</f>
        <v>111603.16666666667</v>
      </c>
      <c r="D21" s="13">
        <f t="shared" si="1"/>
        <v>0.86466666666666658</v>
      </c>
      <c r="E21" s="12">
        <f t="shared" si="1"/>
        <v>130333.33333333333</v>
      </c>
      <c r="F21" s="12">
        <f t="shared" si="1"/>
        <v>367588</v>
      </c>
      <c r="G21" s="13">
        <f t="shared" si="1"/>
        <v>0.97666666666666668</v>
      </c>
      <c r="H21" s="12">
        <f t="shared" si="1"/>
        <v>376500</v>
      </c>
      <c r="I21" s="12">
        <f>H21-E21</f>
        <v>246166.66666666669</v>
      </c>
    </row>
    <row r="22" spans="1:9" ht="21.95" customHeight="1" x14ac:dyDescent="0.15">
      <c r="A22" s="11" t="s">
        <v>37</v>
      </c>
      <c r="B22" s="11" t="s">
        <v>38</v>
      </c>
      <c r="C22" s="12">
        <f t="shared" ref="C22:H22" si="2">AVERAGE(C12:C14)</f>
        <v>270678.33333333331</v>
      </c>
      <c r="D22" s="13">
        <f t="shared" si="2"/>
        <v>0.93499999999999994</v>
      </c>
      <c r="E22" s="12">
        <f t="shared" si="2"/>
        <v>287333.33333333331</v>
      </c>
      <c r="F22" s="12">
        <f t="shared" si="2"/>
        <v>237208.66666666666</v>
      </c>
      <c r="G22" s="13">
        <f t="shared" si="2"/>
        <v>0.95033333333333336</v>
      </c>
      <c r="H22" s="12">
        <f t="shared" si="2"/>
        <v>249333.33333333334</v>
      </c>
      <c r="I22" s="12">
        <f>H22-E22</f>
        <v>-37999.999999999971</v>
      </c>
    </row>
    <row r="23" spans="1:9" ht="21.95" customHeight="1" x14ac:dyDescent="0.15">
      <c r="A23" s="11" t="s">
        <v>39</v>
      </c>
      <c r="B23" s="11" t="s">
        <v>40</v>
      </c>
      <c r="C23" s="12">
        <f t="shared" ref="C23:H23" si="3">AVERAGE(C15:C17)</f>
        <v>202492.33333333334</v>
      </c>
      <c r="D23" s="13">
        <f t="shared" si="3"/>
        <v>0.83399999999999996</v>
      </c>
      <c r="E23" s="12">
        <f t="shared" si="3"/>
        <v>241666.66666666666</v>
      </c>
      <c r="F23" s="12">
        <f t="shared" si="3"/>
        <v>240212.66666666666</v>
      </c>
      <c r="G23" s="13">
        <f t="shared" si="3"/>
        <v>0.83533333333333337</v>
      </c>
      <c r="H23" s="12">
        <f t="shared" si="3"/>
        <v>287333.33333333331</v>
      </c>
      <c r="I23" s="12">
        <f>H23-E23</f>
        <v>45666.666666666657</v>
      </c>
    </row>
  </sheetData>
  <mergeCells count="7">
    <mergeCell ref="A19:I19"/>
    <mergeCell ref="B4:B5"/>
    <mergeCell ref="A4:A5"/>
    <mergeCell ref="I4:I5"/>
    <mergeCell ref="A1:I1"/>
    <mergeCell ref="C4:E4"/>
    <mergeCell ref="F4:H4"/>
  </mergeCells>
  <phoneticPr fontId="9"/>
  <pageMargins left="0.75" right="0.75" top="1" bottom="1" header="0.5" footer="0.5"/>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28"/>
  <sheetViews>
    <sheetView workbookViewId="0">
      <selection sqref="A1:I1"/>
    </sheetView>
  </sheetViews>
  <sheetFormatPr defaultRowHeight="13.5" x14ac:dyDescent="0.15"/>
  <cols>
    <col min="1" max="1" width="22" customWidth="1"/>
    <col min="2" max="7" width="16" customWidth="1"/>
  </cols>
  <sheetData>
    <row r="1" spans="1:9" ht="35.1" customHeight="1" x14ac:dyDescent="0.15">
      <c r="A1" s="37" t="s">
        <v>59</v>
      </c>
      <c r="B1" s="28"/>
      <c r="C1" s="28"/>
      <c r="D1" s="28"/>
      <c r="E1" s="28"/>
      <c r="F1" s="28"/>
      <c r="G1" s="28"/>
      <c r="H1" s="28"/>
      <c r="I1" s="28"/>
    </row>
    <row r="2" spans="1:9" ht="16.5" x14ac:dyDescent="0.35">
      <c r="A2" s="1" t="s">
        <v>60</v>
      </c>
    </row>
    <row r="4" spans="1:9" ht="16.5" x14ac:dyDescent="0.15">
      <c r="A4" s="40" t="s">
        <v>61</v>
      </c>
      <c r="B4" s="38" t="s">
        <v>10</v>
      </c>
      <c r="C4" s="39"/>
      <c r="D4" s="38" t="s">
        <v>17</v>
      </c>
      <c r="E4" s="39"/>
      <c r="F4" s="38" t="s">
        <v>62</v>
      </c>
      <c r="G4" s="39"/>
    </row>
    <row r="5" spans="1:9" ht="16.5" x14ac:dyDescent="0.15">
      <c r="A5" s="41"/>
      <c r="B5" s="14" t="s">
        <v>63</v>
      </c>
      <c r="C5" s="15" t="s">
        <v>64</v>
      </c>
      <c r="D5" s="14" t="s">
        <v>63</v>
      </c>
      <c r="E5" s="15" t="s">
        <v>64</v>
      </c>
      <c r="F5" s="14" t="s">
        <v>63</v>
      </c>
      <c r="G5" s="15" t="s">
        <v>64</v>
      </c>
    </row>
    <row r="6" spans="1:9" ht="20.100000000000001" customHeight="1" x14ac:dyDescent="0.15">
      <c r="A6" s="16" t="s">
        <v>65</v>
      </c>
      <c r="B6" s="17">
        <v>1</v>
      </c>
      <c r="C6" s="17">
        <v>1</v>
      </c>
      <c r="D6" s="17">
        <v>1</v>
      </c>
      <c r="E6" s="17">
        <v>1</v>
      </c>
      <c r="F6" s="17">
        <v>1</v>
      </c>
      <c r="G6" s="17">
        <v>1</v>
      </c>
    </row>
    <row r="7" spans="1:9" ht="20.100000000000001" customHeight="1" x14ac:dyDescent="0.15">
      <c r="A7" s="18" t="s">
        <v>66</v>
      </c>
      <c r="B7" s="19">
        <v>0.61</v>
      </c>
      <c r="C7" s="19">
        <v>0.28100000000000003</v>
      </c>
      <c r="D7" s="19">
        <v>0.34</v>
      </c>
      <c r="E7" s="19">
        <v>0.48799999999999999</v>
      </c>
      <c r="F7" s="19">
        <v>0.61399999999999999</v>
      </c>
      <c r="G7" s="19">
        <v>0.624</v>
      </c>
    </row>
    <row r="8" spans="1:9" ht="20.100000000000001" customHeight="1" x14ac:dyDescent="0.15">
      <c r="A8" s="20" t="s">
        <v>67</v>
      </c>
      <c r="B8" s="6">
        <v>2.3E-2</v>
      </c>
      <c r="C8" s="6">
        <v>2.7E-2</v>
      </c>
      <c r="D8" s="6">
        <v>1.4999999999999999E-2</v>
      </c>
      <c r="E8" s="6">
        <v>1.2E-2</v>
      </c>
      <c r="F8" s="6">
        <v>1.2E-2</v>
      </c>
      <c r="G8" s="6">
        <v>1.4E-2</v>
      </c>
    </row>
    <row r="9" spans="1:9" ht="20.100000000000001" customHeight="1" x14ac:dyDescent="0.15">
      <c r="A9" s="21" t="s">
        <v>68</v>
      </c>
      <c r="B9" s="9">
        <v>7.0000000000000007E-2</v>
      </c>
      <c r="C9" s="9">
        <v>4.9000000000000002E-2</v>
      </c>
      <c r="D9" s="9">
        <v>3.5999999999999997E-2</v>
      </c>
      <c r="E9" s="9">
        <v>5.5999999999999987E-2</v>
      </c>
      <c r="F9" s="9">
        <v>2.7E-2</v>
      </c>
      <c r="G9" s="9">
        <v>4.2999999999999997E-2</v>
      </c>
    </row>
    <row r="10" spans="1:9" ht="20.100000000000001" customHeight="1" x14ac:dyDescent="0.15">
      <c r="A10" s="20" t="s">
        <v>69</v>
      </c>
      <c r="B10" s="6">
        <v>7.400000000000001E-2</v>
      </c>
      <c r="C10" s="6">
        <v>9.5000000000000001E-2</v>
      </c>
      <c r="D10" s="6">
        <v>4.7E-2</v>
      </c>
      <c r="E10" s="6">
        <v>4.2999999999999997E-2</v>
      </c>
      <c r="F10" s="6">
        <v>2.5000000000000001E-2</v>
      </c>
      <c r="G10" s="6">
        <v>3.2000000000000001E-2</v>
      </c>
    </row>
    <row r="11" spans="1:9" ht="20.100000000000001" customHeight="1" x14ac:dyDescent="0.15">
      <c r="A11" s="21" t="s">
        <v>70</v>
      </c>
      <c r="B11" s="9">
        <v>5.7000000000000002E-2</v>
      </c>
      <c r="C11" s="9">
        <v>6.9000000000000006E-2</v>
      </c>
      <c r="D11" s="9">
        <v>4.7E-2</v>
      </c>
      <c r="E11" s="9">
        <v>5.4000000000000013E-2</v>
      </c>
      <c r="F11" s="9">
        <v>3.1E-2</v>
      </c>
      <c r="G11" s="9">
        <v>2.8000000000000001E-2</v>
      </c>
    </row>
    <row r="12" spans="1:9" ht="20.100000000000001" customHeight="1" x14ac:dyDescent="0.15">
      <c r="A12" s="20" t="s">
        <v>71</v>
      </c>
      <c r="B12" s="6">
        <v>5.7000000000000002E-2</v>
      </c>
      <c r="C12" s="6">
        <v>8.4000000000000005E-2</v>
      </c>
      <c r="D12" s="6">
        <v>5.4000000000000013E-2</v>
      </c>
      <c r="E12" s="6">
        <v>3.5000000000000003E-2</v>
      </c>
      <c r="F12" s="6">
        <v>2.1999999999999999E-2</v>
      </c>
      <c r="G12" s="6">
        <v>1.9E-2</v>
      </c>
    </row>
    <row r="13" spans="1:9" ht="20.100000000000001" customHeight="1" x14ac:dyDescent="0.15">
      <c r="A13" s="21" t="s">
        <v>72</v>
      </c>
      <c r="B13" s="9">
        <v>2.1999999999999999E-2</v>
      </c>
      <c r="C13" s="9">
        <v>5.1999999999999998E-2</v>
      </c>
      <c r="D13" s="9">
        <v>7.2000000000000008E-2</v>
      </c>
      <c r="E13" s="9">
        <v>3.4000000000000002E-2</v>
      </c>
      <c r="F13" s="9">
        <v>3.2000000000000001E-2</v>
      </c>
      <c r="G13" s="9">
        <v>1.9E-2</v>
      </c>
    </row>
    <row r="14" spans="1:9" ht="20.100000000000001" customHeight="1" x14ac:dyDescent="0.15">
      <c r="A14" s="20" t="s">
        <v>73</v>
      </c>
      <c r="B14" s="6">
        <v>2.1000000000000001E-2</v>
      </c>
      <c r="C14" s="6">
        <v>4.8000000000000001E-2</v>
      </c>
      <c r="D14" s="6">
        <v>5.7000000000000002E-2</v>
      </c>
      <c r="E14" s="6">
        <v>3.1E-2</v>
      </c>
      <c r="F14" s="6">
        <v>3.4000000000000002E-2</v>
      </c>
      <c r="G14" s="6">
        <v>0.02</v>
      </c>
    </row>
    <row r="15" spans="1:9" ht="20.100000000000001" customHeight="1" x14ac:dyDescent="0.15">
      <c r="A15" s="21" t="s">
        <v>74</v>
      </c>
      <c r="B15" s="9">
        <v>0.01</v>
      </c>
      <c r="C15" s="9">
        <v>0.04</v>
      </c>
      <c r="D15" s="9">
        <v>5.0999999999999997E-2</v>
      </c>
      <c r="E15" s="9">
        <v>4.0999999999999988E-2</v>
      </c>
      <c r="F15" s="9">
        <v>2.3E-2</v>
      </c>
      <c r="G15" s="9">
        <v>2.1999999999999999E-2</v>
      </c>
    </row>
    <row r="16" spans="1:9" ht="20.100000000000001" customHeight="1" x14ac:dyDescent="0.15">
      <c r="A16" s="20" t="s">
        <v>75</v>
      </c>
      <c r="B16" s="6">
        <v>8.0000000000000002E-3</v>
      </c>
      <c r="C16" s="6">
        <v>3.2000000000000001E-2</v>
      </c>
      <c r="D16" s="6">
        <v>4.9000000000000002E-2</v>
      </c>
      <c r="E16" s="6">
        <v>4.9000000000000002E-2</v>
      </c>
      <c r="F16" s="6">
        <v>2.5999999999999999E-2</v>
      </c>
      <c r="G16" s="6">
        <v>1.6E-2</v>
      </c>
    </row>
    <row r="17" spans="1:7" ht="20.100000000000001" customHeight="1" x14ac:dyDescent="0.15">
      <c r="A17" s="21" t="s">
        <v>76</v>
      </c>
      <c r="B17" s="9">
        <v>8.0000000000000002E-3</v>
      </c>
      <c r="C17" s="9">
        <v>3.4000000000000002E-2</v>
      </c>
      <c r="D17" s="9">
        <v>4.4999999999999998E-2</v>
      </c>
      <c r="E17" s="9">
        <v>0.02</v>
      </c>
      <c r="F17" s="9">
        <v>2.5999999999999999E-2</v>
      </c>
      <c r="G17" s="9">
        <v>1.2999999999999999E-2</v>
      </c>
    </row>
    <row r="18" spans="1:7" ht="20.100000000000001" customHeight="1" x14ac:dyDescent="0.15">
      <c r="A18" s="20" t="s">
        <v>77</v>
      </c>
      <c r="B18" s="6">
        <v>5.0000000000000001E-3</v>
      </c>
      <c r="C18" s="6">
        <v>2.1999999999999999E-2</v>
      </c>
      <c r="D18" s="6">
        <v>3.1E-2</v>
      </c>
      <c r="E18" s="6">
        <v>2.4E-2</v>
      </c>
      <c r="F18" s="6">
        <v>1.9E-2</v>
      </c>
      <c r="G18" s="6">
        <v>1.9E-2</v>
      </c>
    </row>
    <row r="19" spans="1:7" ht="20.100000000000001" customHeight="1" x14ac:dyDescent="0.15">
      <c r="A19" s="21" t="s">
        <v>78</v>
      </c>
      <c r="B19" s="9">
        <v>5.0000000000000001E-3</v>
      </c>
      <c r="C19" s="9">
        <v>2.1000000000000001E-2</v>
      </c>
      <c r="D19" s="9">
        <v>3.3000000000000002E-2</v>
      </c>
      <c r="E19" s="9">
        <v>2.5999999999999999E-2</v>
      </c>
      <c r="F19" s="9">
        <v>2.3E-2</v>
      </c>
      <c r="G19" s="9">
        <v>1.0999999999999999E-2</v>
      </c>
    </row>
    <row r="20" spans="1:7" ht="20.100000000000001" customHeight="1" x14ac:dyDescent="0.15">
      <c r="A20" s="20" t="s">
        <v>79</v>
      </c>
      <c r="B20" s="6">
        <v>3.0000000000000001E-3</v>
      </c>
      <c r="C20" s="6">
        <v>1.2E-2</v>
      </c>
      <c r="D20" s="6">
        <v>2.4E-2</v>
      </c>
      <c r="E20" s="6">
        <v>1.2E-2</v>
      </c>
      <c r="F20" s="6">
        <v>1.4999999999999999E-2</v>
      </c>
      <c r="G20" s="6">
        <v>1.7000000000000001E-2</v>
      </c>
    </row>
    <row r="21" spans="1:7" ht="20.100000000000001" customHeight="1" x14ac:dyDescent="0.15">
      <c r="A21" s="21" t="s">
        <v>80</v>
      </c>
      <c r="B21" s="9">
        <v>4.0000000000000001E-3</v>
      </c>
      <c r="C21" s="9">
        <v>1.7999999999999999E-2</v>
      </c>
      <c r="D21" s="9">
        <v>2.1000000000000001E-2</v>
      </c>
      <c r="E21" s="9">
        <v>1.4E-2</v>
      </c>
      <c r="F21" s="9">
        <v>1.4999999999999999E-2</v>
      </c>
      <c r="G21" s="9">
        <v>0.01</v>
      </c>
    </row>
    <row r="22" spans="1:7" ht="20.100000000000001" customHeight="1" x14ac:dyDescent="0.15">
      <c r="A22" s="20" t="s">
        <v>81</v>
      </c>
      <c r="B22" s="6">
        <v>3.0000000000000001E-3</v>
      </c>
      <c r="C22" s="6">
        <v>2.1000000000000001E-2</v>
      </c>
      <c r="D22" s="6">
        <v>1.6E-2</v>
      </c>
      <c r="E22" s="6">
        <v>1.2E-2</v>
      </c>
      <c r="F22" s="6">
        <v>6.0000000000000001E-3</v>
      </c>
      <c r="G22" s="6">
        <v>8.0000000000000002E-3</v>
      </c>
    </row>
    <row r="23" spans="1:7" ht="20.100000000000001" customHeight="1" x14ac:dyDescent="0.15">
      <c r="A23" s="21" t="s">
        <v>82</v>
      </c>
      <c r="B23" s="9">
        <v>2E-3</v>
      </c>
      <c r="C23" s="9">
        <v>1.2E-2</v>
      </c>
      <c r="D23" s="9">
        <v>1.2E-2</v>
      </c>
      <c r="E23" s="9">
        <v>8.0000000000000002E-3</v>
      </c>
      <c r="F23" s="9">
        <v>1.0999999999999999E-2</v>
      </c>
      <c r="G23" s="9">
        <v>0.01</v>
      </c>
    </row>
    <row r="24" spans="1:7" ht="20.100000000000001" customHeight="1" x14ac:dyDescent="0.15">
      <c r="A24" s="20" t="s">
        <v>83</v>
      </c>
      <c r="B24" s="6">
        <v>2E-3</v>
      </c>
      <c r="C24" s="6">
        <v>9.0000000000000011E-3</v>
      </c>
      <c r="D24" s="6">
        <v>1.6E-2</v>
      </c>
      <c r="E24" s="6">
        <v>0.01</v>
      </c>
      <c r="F24" s="6">
        <v>6.0000000000000001E-3</v>
      </c>
      <c r="G24" s="6">
        <v>1.4E-2</v>
      </c>
    </row>
    <row r="25" spans="1:7" ht="20.100000000000001" customHeight="1" x14ac:dyDescent="0.15">
      <c r="A25" s="21" t="s">
        <v>84</v>
      </c>
      <c r="B25" s="9">
        <v>1E-3</v>
      </c>
      <c r="C25" s="9">
        <v>1.4E-2</v>
      </c>
      <c r="D25" s="9">
        <v>3.0000000000000001E-3</v>
      </c>
      <c r="E25" s="9">
        <v>8.0000000000000002E-3</v>
      </c>
      <c r="F25" s="9">
        <v>4.0000000000000001E-3</v>
      </c>
      <c r="G25" s="9">
        <v>0.01</v>
      </c>
    </row>
    <row r="26" spans="1:7" ht="20.100000000000001" customHeight="1" x14ac:dyDescent="0.15">
      <c r="A26" s="20" t="s">
        <v>85</v>
      </c>
      <c r="B26" s="6">
        <v>3.0000000000000001E-3</v>
      </c>
      <c r="C26" s="6">
        <v>6.9999999999999993E-3</v>
      </c>
      <c r="D26" s="6">
        <v>6.9999999999999993E-3</v>
      </c>
      <c r="E26" s="6">
        <v>3.0000000000000001E-3</v>
      </c>
      <c r="F26" s="6">
        <v>1E-3</v>
      </c>
      <c r="G26" s="6">
        <v>6.9999999999999993E-3</v>
      </c>
    </row>
    <row r="27" spans="1:7" ht="20.100000000000001" customHeight="1" x14ac:dyDescent="0.15">
      <c r="A27" s="18" t="s">
        <v>86</v>
      </c>
      <c r="B27" s="19">
        <v>1.0999999999999999E-2</v>
      </c>
      <c r="C27" s="19">
        <v>5.0999999999999997E-2</v>
      </c>
      <c r="D27" s="19">
        <v>2.5000000000000001E-2</v>
      </c>
      <c r="E27" s="19">
        <v>0.02</v>
      </c>
      <c r="F27" s="19">
        <v>2.7E-2</v>
      </c>
      <c r="G27" s="19">
        <v>4.2000000000000003E-2</v>
      </c>
    </row>
    <row r="28" spans="1:7" ht="20.100000000000001" customHeight="1" x14ac:dyDescent="0.15">
      <c r="A28" s="16" t="s">
        <v>87</v>
      </c>
      <c r="B28" s="22">
        <v>193000</v>
      </c>
      <c r="C28" s="22">
        <v>361000</v>
      </c>
      <c r="D28" s="22">
        <v>349000</v>
      </c>
      <c r="E28" s="22">
        <v>328000</v>
      </c>
      <c r="F28" s="22">
        <v>381000</v>
      </c>
      <c r="G28" s="22">
        <v>444000</v>
      </c>
    </row>
  </sheetData>
  <mergeCells count="5">
    <mergeCell ref="F4:G4"/>
    <mergeCell ref="A4:A5"/>
    <mergeCell ref="A1:I1"/>
    <mergeCell ref="D4:E4"/>
    <mergeCell ref="B4:C4"/>
  </mergeCells>
  <phoneticPr fontId="9"/>
  <pageMargins left="0.75" right="0.75" top="1" bottom="1" header="0.5" footer="0.5"/>
  <pageSetup paperSize="9" scale="8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
  <sheetViews>
    <sheetView tabSelected="1" workbookViewId="0">
      <selection sqref="A1:H1"/>
    </sheetView>
  </sheetViews>
  <sheetFormatPr defaultRowHeight="13.5" x14ac:dyDescent="0.15"/>
  <cols>
    <col min="1" max="1" width="14" customWidth="1"/>
    <col min="2" max="2" width="12" customWidth="1"/>
    <col min="3" max="8" width="18" customWidth="1"/>
  </cols>
  <sheetData>
    <row r="1" spans="1:8" ht="35.1" customHeight="1" x14ac:dyDescent="0.15">
      <c r="A1" s="37" t="s">
        <v>88</v>
      </c>
      <c r="B1" s="28"/>
      <c r="C1" s="28"/>
      <c r="D1" s="28"/>
      <c r="E1" s="28"/>
      <c r="F1" s="28"/>
      <c r="G1" s="28"/>
      <c r="H1" s="28"/>
    </row>
    <row r="2" spans="1:8" ht="16.5" x14ac:dyDescent="0.35">
      <c r="A2" s="1" t="s">
        <v>89</v>
      </c>
    </row>
    <row r="4" spans="1:8" ht="24.95" customHeight="1" x14ac:dyDescent="0.15">
      <c r="A4" s="23" t="s">
        <v>2</v>
      </c>
      <c r="B4" s="23" t="s">
        <v>90</v>
      </c>
      <c r="C4" s="23" t="s">
        <v>91</v>
      </c>
      <c r="D4" s="23" t="s">
        <v>92</v>
      </c>
      <c r="E4" s="23" t="s">
        <v>93</v>
      </c>
      <c r="F4" s="23" t="s">
        <v>94</v>
      </c>
      <c r="G4" s="23" t="s">
        <v>95</v>
      </c>
      <c r="H4" s="23" t="s">
        <v>96</v>
      </c>
    </row>
    <row r="5" spans="1:8" ht="21.95" customHeight="1" x14ac:dyDescent="0.15">
      <c r="A5" s="4" t="s">
        <v>10</v>
      </c>
      <c r="B5" s="24" t="s">
        <v>63</v>
      </c>
      <c r="C5" s="25" t="s">
        <v>97</v>
      </c>
      <c r="D5" s="5">
        <v>15719</v>
      </c>
      <c r="E5" s="5">
        <v>23916</v>
      </c>
      <c r="F5" s="5">
        <v>38410</v>
      </c>
      <c r="G5" s="22">
        <v>90034</v>
      </c>
      <c r="H5" s="22">
        <v>180942</v>
      </c>
    </row>
    <row r="6" spans="1:8" ht="21.95" customHeight="1" x14ac:dyDescent="0.15">
      <c r="A6" s="4" t="s">
        <v>10</v>
      </c>
      <c r="B6" s="24" t="s">
        <v>64</v>
      </c>
      <c r="C6" s="25" t="s">
        <v>97</v>
      </c>
      <c r="D6" s="25" t="s">
        <v>97</v>
      </c>
      <c r="E6" s="25" t="s">
        <v>97</v>
      </c>
      <c r="F6" s="25" t="s">
        <v>97</v>
      </c>
      <c r="G6" s="22">
        <v>254913</v>
      </c>
      <c r="H6" s="22">
        <v>344044</v>
      </c>
    </row>
    <row r="7" spans="1:8" ht="21.95" customHeight="1" x14ac:dyDescent="0.15">
      <c r="A7" s="4" t="s">
        <v>17</v>
      </c>
      <c r="B7" s="24" t="s">
        <v>63</v>
      </c>
      <c r="C7" s="25" t="s">
        <v>97</v>
      </c>
      <c r="D7" s="5">
        <v>95512</v>
      </c>
      <c r="E7" s="5">
        <v>160179</v>
      </c>
      <c r="F7" s="25" t="s">
        <v>97</v>
      </c>
      <c r="G7" s="22">
        <v>250942</v>
      </c>
      <c r="H7" s="25" t="s">
        <v>97</v>
      </c>
    </row>
    <row r="8" spans="1:8" ht="21.95" customHeight="1" x14ac:dyDescent="0.15">
      <c r="A8" s="4" t="s">
        <v>17</v>
      </c>
      <c r="B8" s="24" t="s">
        <v>64</v>
      </c>
      <c r="C8" s="25" t="s">
        <v>97</v>
      </c>
      <c r="D8" s="25" t="s">
        <v>97</v>
      </c>
      <c r="E8" s="25" t="s">
        <v>97</v>
      </c>
      <c r="F8" s="25" t="s">
        <v>97</v>
      </c>
      <c r="G8" s="22">
        <v>163721</v>
      </c>
      <c r="H8" s="22">
        <v>223654</v>
      </c>
    </row>
    <row r="9" spans="1:8" ht="21.95" customHeight="1" x14ac:dyDescent="0.15">
      <c r="A9" s="4" t="s">
        <v>98</v>
      </c>
      <c r="B9" s="24" t="s">
        <v>63</v>
      </c>
      <c r="C9" s="25" t="s">
        <v>99</v>
      </c>
      <c r="D9" s="5">
        <v>4567</v>
      </c>
      <c r="E9" s="5">
        <v>12736</v>
      </c>
      <c r="F9" s="25" t="s">
        <v>97</v>
      </c>
      <c r="G9" s="22">
        <v>197729</v>
      </c>
      <c r="H9" s="22">
        <v>325656</v>
      </c>
    </row>
    <row r="10" spans="1:8" ht="21.95" customHeight="1" x14ac:dyDescent="0.15">
      <c r="A10" s="4" t="s">
        <v>98</v>
      </c>
      <c r="B10" s="24" t="s">
        <v>64</v>
      </c>
      <c r="C10" s="25" t="s">
        <v>99</v>
      </c>
      <c r="D10" s="5">
        <v>1303</v>
      </c>
      <c r="E10" s="5">
        <v>14000</v>
      </c>
      <c r="F10" s="25" t="s">
        <v>97</v>
      </c>
      <c r="G10" s="22">
        <v>177926</v>
      </c>
      <c r="H10" s="22">
        <v>381044</v>
      </c>
    </row>
    <row r="12" spans="1:8" ht="16.5" x14ac:dyDescent="0.35">
      <c r="A12" s="1" t="s">
        <v>100</v>
      </c>
    </row>
    <row r="13" spans="1:8" ht="16.5" x14ac:dyDescent="0.35">
      <c r="A13" s="1" t="s">
        <v>101</v>
      </c>
    </row>
    <row r="14" spans="1:8" ht="16.5" x14ac:dyDescent="0.35">
      <c r="A14" s="1" t="s">
        <v>102</v>
      </c>
    </row>
    <row r="15" spans="1:8" ht="16.5" x14ac:dyDescent="0.35">
      <c r="A15" s="1" t="s">
        <v>103</v>
      </c>
    </row>
    <row r="16" spans="1:8" ht="16.5" x14ac:dyDescent="0.35">
      <c r="A16" s="1" t="s">
        <v>104</v>
      </c>
    </row>
  </sheetData>
  <mergeCells count="1">
    <mergeCell ref="A1:H1"/>
  </mergeCells>
  <phoneticPr fontId="9"/>
  <pageMargins left="0.75" right="0.75" top="1" bottom="1" header="0.5" footer="0.5"/>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
  <sheetViews>
    <sheetView workbookViewId="0">
      <selection sqref="A1:I1"/>
    </sheetView>
  </sheetViews>
  <sheetFormatPr defaultRowHeight="13.5" x14ac:dyDescent="0.15"/>
  <cols>
    <col min="1" max="1" width="18" customWidth="1"/>
    <col min="2" max="2" width="8" customWidth="1"/>
    <col min="3" max="3" width="28" customWidth="1"/>
    <col min="4" max="4" width="14" customWidth="1"/>
    <col min="5" max="5" width="15" customWidth="1"/>
    <col min="6" max="6" width="16" customWidth="1"/>
    <col min="7" max="7" width="22" customWidth="1"/>
    <col min="8" max="8" width="16" customWidth="1"/>
    <col min="9" max="9" width="35" customWidth="1"/>
  </cols>
  <sheetData>
    <row r="1" spans="1:9" ht="35.1" customHeight="1" x14ac:dyDescent="0.15">
      <c r="A1" s="37" t="s">
        <v>105</v>
      </c>
      <c r="B1" s="28"/>
      <c r="C1" s="28"/>
      <c r="D1" s="28"/>
      <c r="E1" s="28"/>
      <c r="F1" s="28"/>
      <c r="G1" s="28"/>
      <c r="H1" s="28"/>
      <c r="I1" s="28"/>
    </row>
    <row r="2" spans="1:9" ht="16.5" x14ac:dyDescent="0.35">
      <c r="A2" s="1" t="s">
        <v>106</v>
      </c>
    </row>
    <row r="4" spans="1:9" ht="24.95" customHeight="1" x14ac:dyDescent="0.15">
      <c r="A4" s="23" t="s">
        <v>107</v>
      </c>
      <c r="B4" s="23" t="s">
        <v>3</v>
      </c>
      <c r="C4" s="23" t="s">
        <v>108</v>
      </c>
      <c r="D4" s="23" t="s">
        <v>109</v>
      </c>
      <c r="E4" s="23" t="s">
        <v>110</v>
      </c>
      <c r="F4" s="23" t="s">
        <v>111</v>
      </c>
      <c r="G4" s="23" t="s">
        <v>112</v>
      </c>
      <c r="H4" s="23" t="s">
        <v>113</v>
      </c>
      <c r="I4" s="23" t="s">
        <v>114</v>
      </c>
    </row>
    <row r="5" spans="1:9" ht="21.95" customHeight="1" x14ac:dyDescent="0.15">
      <c r="A5" s="7" t="s">
        <v>115</v>
      </c>
      <c r="B5" s="7" t="s">
        <v>14</v>
      </c>
      <c r="C5" s="7" t="s">
        <v>116</v>
      </c>
      <c r="D5" s="8">
        <v>42000</v>
      </c>
      <c r="E5" s="8">
        <v>504000</v>
      </c>
      <c r="F5" s="8">
        <v>150000</v>
      </c>
      <c r="G5" s="8">
        <v>80000</v>
      </c>
      <c r="H5" s="26">
        <v>734000</v>
      </c>
      <c r="I5" s="21" t="s">
        <v>117</v>
      </c>
    </row>
    <row r="6" spans="1:9" ht="21.95" customHeight="1" x14ac:dyDescent="0.15">
      <c r="A6" s="4" t="s">
        <v>115</v>
      </c>
      <c r="B6" s="4" t="s">
        <v>15</v>
      </c>
      <c r="C6" s="4" t="s">
        <v>116</v>
      </c>
      <c r="D6" s="5">
        <v>52000</v>
      </c>
      <c r="E6" s="5">
        <v>624000</v>
      </c>
      <c r="F6" s="5">
        <v>250000</v>
      </c>
      <c r="G6" s="5">
        <v>100000</v>
      </c>
      <c r="H6" s="22">
        <v>974000</v>
      </c>
      <c r="I6" s="20" t="s">
        <v>118</v>
      </c>
    </row>
    <row r="7" spans="1:9" ht="21.95" customHeight="1" x14ac:dyDescent="0.15">
      <c r="A7" s="7" t="s">
        <v>115</v>
      </c>
      <c r="B7" s="7" t="s">
        <v>16</v>
      </c>
      <c r="C7" s="7" t="s">
        <v>116</v>
      </c>
      <c r="D7" s="8">
        <v>65000</v>
      </c>
      <c r="E7" s="8">
        <v>780000</v>
      </c>
      <c r="F7" s="8">
        <v>450000</v>
      </c>
      <c r="G7" s="8">
        <v>180000</v>
      </c>
      <c r="H7" s="26">
        <v>1410000</v>
      </c>
      <c r="I7" s="21" t="s">
        <v>119</v>
      </c>
    </row>
    <row r="8" spans="1:9" ht="21.95" customHeight="1" x14ac:dyDescent="0.15">
      <c r="A8" s="4" t="s">
        <v>120</v>
      </c>
      <c r="B8" s="4" t="s">
        <v>18</v>
      </c>
      <c r="C8" s="4" t="s">
        <v>121</v>
      </c>
      <c r="D8" s="5">
        <v>25000</v>
      </c>
      <c r="E8" s="5">
        <v>300000</v>
      </c>
      <c r="F8" s="5">
        <v>80000</v>
      </c>
      <c r="G8" s="5">
        <v>50000</v>
      </c>
      <c r="H8" s="22">
        <v>430000</v>
      </c>
      <c r="I8" s="20" t="s">
        <v>122</v>
      </c>
    </row>
    <row r="9" spans="1:9" ht="21.95" customHeight="1" x14ac:dyDescent="0.15">
      <c r="A9" s="7" t="s">
        <v>120</v>
      </c>
      <c r="B9" s="7" t="s">
        <v>19</v>
      </c>
      <c r="C9" s="7" t="s">
        <v>121</v>
      </c>
      <c r="D9" s="8">
        <v>28000</v>
      </c>
      <c r="E9" s="8">
        <v>336000</v>
      </c>
      <c r="F9" s="8">
        <v>120000</v>
      </c>
      <c r="G9" s="8">
        <v>60000</v>
      </c>
      <c r="H9" s="26">
        <v>516000</v>
      </c>
      <c r="I9" s="21" t="s">
        <v>123</v>
      </c>
    </row>
    <row r="10" spans="1:9" ht="21.95" customHeight="1" x14ac:dyDescent="0.15">
      <c r="A10" s="4" t="s">
        <v>120</v>
      </c>
      <c r="B10" s="4" t="s">
        <v>20</v>
      </c>
      <c r="C10" s="4" t="s">
        <v>121</v>
      </c>
      <c r="D10" s="5">
        <v>42000</v>
      </c>
      <c r="E10" s="5">
        <v>504000</v>
      </c>
      <c r="F10" s="5">
        <v>280000</v>
      </c>
      <c r="G10" s="5">
        <v>100000</v>
      </c>
      <c r="H10" s="22">
        <v>884000</v>
      </c>
      <c r="I10" s="20" t="s">
        <v>124</v>
      </c>
    </row>
    <row r="11" spans="1:9" ht="21.95" customHeight="1" x14ac:dyDescent="0.15">
      <c r="A11" s="7" t="s">
        <v>125</v>
      </c>
      <c r="B11" s="7" t="s">
        <v>22</v>
      </c>
      <c r="C11" s="7" t="s">
        <v>126</v>
      </c>
      <c r="D11" s="8">
        <v>28000</v>
      </c>
      <c r="E11" s="8">
        <v>336000</v>
      </c>
      <c r="F11" s="8">
        <v>80000</v>
      </c>
      <c r="G11" s="8">
        <v>40000</v>
      </c>
      <c r="H11" s="26">
        <v>456000</v>
      </c>
      <c r="I11" s="21" t="s">
        <v>127</v>
      </c>
    </row>
    <row r="12" spans="1:9" ht="21.95" customHeight="1" x14ac:dyDescent="0.15">
      <c r="A12" s="4" t="s">
        <v>125</v>
      </c>
      <c r="B12" s="4" t="s">
        <v>23</v>
      </c>
      <c r="C12" s="4" t="s">
        <v>126</v>
      </c>
      <c r="D12" s="5">
        <v>38000</v>
      </c>
      <c r="E12" s="5">
        <v>456000</v>
      </c>
      <c r="F12" s="5">
        <v>150000</v>
      </c>
      <c r="G12" s="5">
        <v>60000</v>
      </c>
      <c r="H12" s="22">
        <v>666000</v>
      </c>
      <c r="I12" s="20" t="s">
        <v>128</v>
      </c>
    </row>
    <row r="13" spans="1:9" ht="21.95" customHeight="1" x14ac:dyDescent="0.15">
      <c r="A13" s="7" t="s">
        <v>125</v>
      </c>
      <c r="B13" s="7" t="s">
        <v>24</v>
      </c>
      <c r="C13" s="7" t="s">
        <v>126</v>
      </c>
      <c r="D13" s="8">
        <v>55000</v>
      </c>
      <c r="E13" s="8">
        <v>660000</v>
      </c>
      <c r="F13" s="8">
        <v>320000</v>
      </c>
      <c r="G13" s="8">
        <v>100000</v>
      </c>
      <c r="H13" s="26">
        <v>1080000</v>
      </c>
      <c r="I13" s="21" t="s">
        <v>129</v>
      </c>
    </row>
  </sheetData>
  <mergeCells count="1">
    <mergeCell ref="A1:I1"/>
  </mergeCells>
  <phoneticPr fontId="9"/>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学年別学習塾費データ</vt:lpstr>
      <vt:lpstr>学年別補助学習費データ</vt:lpstr>
      <vt:lpstr>金額帯別分布データ</vt:lpstr>
      <vt:lpstr>希望進路別学習塾費</vt:lpstr>
      <vt:lpstr>大手塾モデル実費データ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h.inomata</cp:lastModifiedBy>
  <cp:lastPrinted>2026-08-28T03:48:11Z</cp:lastPrinted>
  <dcterms:created xsi:type="dcterms:W3CDTF">2026-08-28T01:17:58Z</dcterms:created>
  <dcterms:modified xsi:type="dcterms:W3CDTF">2026-08-28T03:48:17Z</dcterms:modified>
</cp:coreProperties>
</file>